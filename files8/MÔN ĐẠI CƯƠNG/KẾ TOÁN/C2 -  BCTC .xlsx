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GOC THUONG\1.VHU\KE TOAN DAI CUONG\LOP DAI HOC - Copy\"/>
    </mc:Choice>
  </mc:AlternateContent>
  <xr:revisionPtr revIDLastSave="0" documentId="13_ncr:1_{B133C7D7-B461-48C8-9D6A-F54EC8CDDAB5}" xr6:coauthVersionLast="47" xr6:coauthVersionMax="47" xr10:uidLastSave="{00000000-0000-0000-0000-000000000000}"/>
  <bookViews>
    <workbookView xWindow="-108" yWindow="-108" windowWidth="23256" windowHeight="12576" xr2:uid="{225D4D3F-75C8-4385-8F97-AC208A8AACB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  <c r="M17" i="1"/>
  <c r="M16" i="1"/>
  <c r="M15" i="1"/>
  <c r="M12" i="1"/>
  <c r="M7" i="1"/>
  <c r="M6" i="1"/>
  <c r="M5" i="1"/>
  <c r="M3" i="1"/>
  <c r="D22" i="2"/>
  <c r="D19" i="2"/>
  <c r="C16" i="2"/>
</calcChain>
</file>

<file path=xl/sharedStrings.xml><?xml version="1.0" encoding="utf-8"?>
<sst xmlns="http://schemas.openxmlformats.org/spreadsheetml/2006/main" count="56" uniqueCount="55">
  <si>
    <t>Chỉ tiêu</t>
  </si>
  <si>
    <t>Mã số</t>
  </si>
  <si>
    <t>Cách tính</t>
  </si>
  <si>
    <t>1. Doanh thu bán hàng và cung cấp dịch vụ</t>
  </si>
  <si>
    <t>2. Các khoản giảm trừ doanh thu</t>
  </si>
  <si>
    <t>10 = 01-02</t>
  </si>
  <si>
    <t>4. Giá vốn hàng bán</t>
  </si>
  <si>
    <t>20 = 10 – 11</t>
  </si>
  <si>
    <t>6. Doanh thu họat động tài chính</t>
  </si>
  <si>
    <t>7. Chi phí tài chính</t>
  </si>
  <si>
    <t>8. Chi phí bán hàng</t>
  </si>
  <si>
    <t>9. Chi phí quản lý doanh nghiệp</t>
  </si>
  <si>
    <t>30 = 20 + 21 - 22-25-26</t>
  </si>
  <si>
    <t>11. Thu nhập khác</t>
  </si>
  <si>
    <t>12. Chi phí khác</t>
  </si>
  <si>
    <t>13. Lợi nhuận khác</t>
  </si>
  <si>
    <t>40 = 31 - 32</t>
  </si>
  <si>
    <t>14. Tổng lợi nhuận kế toán trước thuế</t>
  </si>
  <si>
    <t>50 = 30 + 40</t>
  </si>
  <si>
    <t>15. Chi phí thuế TNDN hiện hành</t>
  </si>
  <si>
    <t>16. Chi phí thuế TNDN hoãn lại</t>
  </si>
  <si>
    <t>17. Lợi nhuận sau thuế TNDN</t>
  </si>
  <si>
    <t>60 = 50 - 51 - 52</t>
  </si>
  <si>
    <t>18. Lãi cơ bản trên cổ phiếu</t>
  </si>
  <si>
    <t>19. Lãi suy giảm trên cổ phiếu</t>
  </si>
  <si>
    <t>3. Doanh thu thuần về BH và CCDV</t>
  </si>
  <si>
    <t>5. Lợi nhuận gộp về BH và CCDV</t>
  </si>
  <si>
    <t>10. Lợi nhuận thuần từ HĐKD</t>
  </si>
  <si>
    <t> 51 = 50 x thuế suất</t>
  </si>
  <si>
    <t>số tiền</t>
  </si>
  <si>
    <t>TÀI SẢN</t>
  </si>
  <si>
    <t>SỐ TIỀN</t>
  </si>
  <si>
    <t>NGUỒN VỐN</t>
  </si>
  <si>
    <t>Bằng PMSC</t>
  </si>
  <si>
    <t>Bồn chứa nước</t>
  </si>
  <si>
    <t>CCDC</t>
  </si>
  <si>
    <t>Hao mòn LK</t>
  </si>
  <si>
    <t>Máy móc</t>
  </si>
  <si>
    <t>PTKH</t>
  </si>
  <si>
    <t>TM</t>
  </si>
  <si>
    <t>TGNH</t>
  </si>
  <si>
    <t>PTNC</t>
  </si>
  <si>
    <t>QUỸ DT VÀ PT</t>
  </si>
  <si>
    <t>VAY DÀI HẠN</t>
  </si>
  <si>
    <t>VAY NGẮN HẠN</t>
  </si>
  <si>
    <t>VỐN ĐT</t>
  </si>
  <si>
    <t>NLST CPP</t>
  </si>
  <si>
    <t>QUY KTPL</t>
  </si>
  <si>
    <t>X</t>
  </si>
  <si>
    <t>TTS</t>
  </si>
  <si>
    <t>TNV</t>
  </si>
  <si>
    <t>210,538,000 + X</t>
  </si>
  <si>
    <t>VÌ TTS = TNV</t>
  </si>
  <si>
    <t>=&gt;X= 211.125.000-210.538.000</t>
  </si>
  <si>
    <t xml:space="preserve">X=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</si>
</sst>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6"/>
      <color rgb="FF000000"/>
      <name val="Calibri"/>
      <family val="2"/>
    </font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28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wrapText="1" readingOrder="1"/>
    </xf>
    <xf numFmtId="0" fontId="1" fillId="0" borderId="1" xfId="0" applyFont="1" applyBorder="1" applyAlignment="1">
      <alignment horizontal="left" wrapText="1" readingOrder="1"/>
    </xf>
    <xf numFmtId="0" fontId="1" fillId="0" borderId="1" xfId="0" applyFont="1" applyBorder="1" applyAlignment="1">
      <alignment horizontal="left" readingOrder="1"/>
    </xf>
    <xf numFmtId="0" fontId="1" fillId="0" borderId="2" xfId="0" applyFont="1" applyBorder="1" applyAlignment="1">
      <alignment horizontal="center" wrapText="1" readingOrder="1"/>
    </xf>
    <xf numFmtId="0" fontId="1" fillId="0" borderId="2" xfId="0" applyFont="1" applyBorder="1" applyAlignment="1">
      <alignment horizontal="left" wrapText="1" readingOrder="1"/>
    </xf>
    <xf numFmtId="164" fontId="0" fillId="0" borderId="0" xfId="1" applyNumberFormat="1" applyFont="1"/>
    <xf numFmtId="164" fontId="1" fillId="0" borderId="1" xfId="1" applyNumberFormat="1" applyFont="1" applyBorder="1" applyAlignment="1">
      <alignment horizontal="center" wrapText="1" readingOrder="1"/>
    </xf>
    <xf numFmtId="0" fontId="3" fillId="0" borderId="0" xfId="0" applyFont="1"/>
    <xf numFmtId="0" fontId="3" fillId="0" borderId="3" xfId="0" applyFont="1" applyBorder="1"/>
    <xf numFmtId="164" fontId="3" fillId="0" borderId="3" xfId="1" applyNumberFormat="1" applyFont="1" applyBorder="1"/>
    <xf numFmtId="164" fontId="3" fillId="0" borderId="0" xfId="1" applyNumberFormat="1" applyFont="1"/>
    <xf numFmtId="164" fontId="3" fillId="0" borderId="0" xfId="0" applyNumberFormat="1" applyFont="1"/>
    <xf numFmtId="0" fontId="4" fillId="0" borderId="3" xfId="0" applyFont="1" applyBorder="1"/>
    <xf numFmtId="164" fontId="4" fillId="0" borderId="3" xfId="1" applyNumberFormat="1" applyFont="1" applyBorder="1"/>
    <xf numFmtId="164" fontId="3" fillId="0" borderId="0" xfId="1" quotePrefix="1" applyNumberFormat="1" applyFont="1"/>
    <xf numFmtId="0" fontId="5" fillId="0" borderId="3" xfId="0" applyFont="1" applyBorder="1"/>
    <xf numFmtId="164" fontId="5" fillId="0" borderId="3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99060</xdr:rowOff>
    </xdr:from>
    <xdr:to>
      <xdr:col>8</xdr:col>
      <xdr:colOff>152400</xdr:colOff>
      <xdr:row>19</xdr:row>
      <xdr:rowOff>109983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47002D-F048-428C-820E-7E7506419AC1}"/>
            </a:ext>
          </a:extLst>
        </xdr:cNvPr>
        <xdr:cNvSpPr txBox="1"/>
      </xdr:nvSpPr>
      <xdr:spPr>
        <a:xfrm>
          <a:off x="0" y="99060"/>
          <a:ext cx="5029200" cy="510543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VD7: </a:t>
          </a:r>
          <a:r>
            <a:rPr lang="vi-VN" sz="2000">
              <a:latin typeface="Times New Roman" panose="02020603050405020304" pitchFamily="18" charset="0"/>
              <a:cs typeface="Times New Roman" panose="02020603050405020304" pitchFamily="18" charset="0"/>
            </a:rPr>
            <a:t>Công ty ABC trong kỳ hoạt động có các thông tin như sau:</a:t>
          </a:r>
        </a:p>
        <a:p>
          <a:pPr marL="285750" indent="-285750">
            <a:buFontTx/>
            <a:buChar char="-"/>
          </a:pPr>
          <a:r>
            <a:rPr lang="vi-VN" sz="2000">
              <a:latin typeface="Times New Roman" panose="02020603050405020304" pitchFamily="18" charset="0"/>
              <a:cs typeface="Times New Roman" panose="02020603050405020304" pitchFamily="18" charset="0"/>
            </a:rPr>
            <a:t>Số lượng sản phẩm (sp) bán trong kỳ: </a:t>
          </a:r>
          <a:r>
            <a:rPr lang="vi-VN" sz="2000" b="1">
              <a:latin typeface="Times New Roman" panose="02020603050405020304" pitchFamily="18" charset="0"/>
              <a:cs typeface="Times New Roman" panose="02020603050405020304" pitchFamily="18" charset="0"/>
            </a:rPr>
            <a:t>200sp</a:t>
          </a:r>
        </a:p>
        <a:p>
          <a:pPr marL="285750" indent="-285750">
            <a:buFontTx/>
            <a:buChar char="-"/>
          </a:pPr>
          <a:r>
            <a:rPr lang="vi-VN" sz="2000">
              <a:latin typeface="Times New Roman" panose="02020603050405020304" pitchFamily="18" charset="0"/>
              <a:cs typeface="Times New Roman" panose="02020603050405020304" pitchFamily="18" charset="0"/>
            </a:rPr>
            <a:t>Giá </a:t>
          </a:r>
          <a:r>
            <a:rPr lang="vi-VN" sz="2000" b="1">
              <a:latin typeface="Times New Roman" panose="02020603050405020304" pitchFamily="18" charset="0"/>
              <a:cs typeface="Times New Roman" panose="02020603050405020304" pitchFamily="18" charset="0"/>
            </a:rPr>
            <a:t>xuất kho</a:t>
          </a:r>
          <a:r>
            <a:rPr lang="vi-VN" sz="2000">
              <a:latin typeface="Times New Roman" panose="02020603050405020304" pitchFamily="18" charset="0"/>
              <a:cs typeface="Times New Roman" panose="02020603050405020304" pitchFamily="18" charset="0"/>
            </a:rPr>
            <a:t>: 6.000 / sp  </a:t>
          </a:r>
        </a:p>
        <a:p>
          <a:pPr marL="285750" indent="-285750">
            <a:buFontTx/>
            <a:buChar char="-"/>
          </a:pPr>
          <a:r>
            <a:rPr lang="vi-VN" sz="2000">
              <a:latin typeface="Times New Roman" panose="02020603050405020304" pitchFamily="18" charset="0"/>
              <a:cs typeface="Times New Roman" panose="02020603050405020304" pitchFamily="18" charset="0"/>
            </a:rPr>
            <a:t>Giá bán chưa thuế</a:t>
          </a: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 GTGT</a:t>
          </a:r>
          <a:r>
            <a:rPr lang="vi-VN" sz="2000">
              <a:latin typeface="Times New Roman" panose="02020603050405020304" pitchFamily="18" charset="0"/>
              <a:cs typeface="Times New Roman" panose="02020603050405020304" pitchFamily="18" charset="0"/>
            </a:rPr>
            <a:t>: 14.000/sp.</a:t>
          </a:r>
        </a:p>
        <a:p>
          <a:pPr marL="285750" indent="-285750">
            <a:buFontTx/>
            <a:buChar char="-"/>
          </a:pPr>
          <a:r>
            <a:rPr lang="vi-VN" sz="2000">
              <a:latin typeface="Times New Roman" panose="02020603050405020304" pitchFamily="18" charset="0"/>
              <a:cs typeface="Times New Roman" panose="02020603050405020304" pitchFamily="18" charset="0"/>
            </a:rPr>
            <a:t>Khoản giảm giá hàng bán 200.000</a:t>
          </a:r>
        </a:p>
        <a:p>
          <a:pPr marL="285750" indent="-285750">
            <a:buFontTx/>
            <a:buChar char="-"/>
          </a:pPr>
          <a:r>
            <a:rPr lang="vi-VN" sz="2000">
              <a:latin typeface="Times New Roman" panose="02020603050405020304" pitchFamily="18" charset="0"/>
              <a:cs typeface="Times New Roman" panose="02020603050405020304" pitchFamily="18" charset="0"/>
            </a:rPr>
            <a:t>Doanh thu hoạt động tài chính 3.000.000</a:t>
          </a:r>
        </a:p>
        <a:p>
          <a:pPr marL="285750" indent="-285750">
            <a:buFontTx/>
            <a:buChar char="-"/>
          </a:pPr>
          <a:r>
            <a:rPr lang="vi-VN" sz="2000">
              <a:latin typeface="Times New Roman" panose="02020603050405020304" pitchFamily="18" charset="0"/>
              <a:cs typeface="Times New Roman" panose="02020603050405020304" pitchFamily="18" charset="0"/>
            </a:rPr>
            <a:t>Thu nhập khác 500.000</a:t>
          </a:r>
        </a:p>
        <a:p>
          <a:pPr marL="285750" indent="-285750">
            <a:buFontTx/>
            <a:buChar char="-"/>
          </a:pPr>
          <a:r>
            <a:rPr lang="vi-VN" sz="2000">
              <a:latin typeface="Times New Roman" panose="02020603050405020304" pitchFamily="18" charset="0"/>
              <a:cs typeface="Times New Roman" panose="02020603050405020304" pitchFamily="18" charset="0"/>
            </a:rPr>
            <a:t>Chi phí bán hàng 1.500.000</a:t>
          </a:r>
        </a:p>
        <a:p>
          <a:pPr marL="285750" indent="-285750">
            <a:buFontTx/>
            <a:buChar char="-"/>
          </a:pPr>
          <a:r>
            <a:rPr lang="vi-VN" sz="2000">
              <a:latin typeface="Times New Roman" panose="02020603050405020304" pitchFamily="18" charset="0"/>
              <a:cs typeface="Times New Roman" panose="02020603050405020304" pitchFamily="18" charset="0"/>
            </a:rPr>
            <a:t>Chi phí quản lý doanh nghiệp 2.000.000</a:t>
          </a:r>
        </a:p>
        <a:p>
          <a:pPr marL="285750" indent="-285750">
            <a:buFontTx/>
            <a:buChar char="-"/>
          </a:pPr>
          <a:r>
            <a:rPr lang="vi-VN" sz="2000">
              <a:latin typeface="Times New Roman" panose="02020603050405020304" pitchFamily="18" charset="0"/>
              <a:cs typeface="Times New Roman" panose="02020603050405020304" pitchFamily="18" charset="0"/>
            </a:rPr>
            <a:t>Chi phí tài chính 1.000.000</a:t>
          </a:r>
        </a:p>
        <a:p>
          <a:pPr marL="285750" indent="-285750">
            <a:buFontTx/>
            <a:buChar char="-"/>
          </a:pPr>
          <a:r>
            <a:rPr lang="vi-VN" sz="2000">
              <a:latin typeface="Times New Roman" panose="02020603050405020304" pitchFamily="18" charset="0"/>
              <a:cs typeface="Times New Roman" panose="02020603050405020304" pitchFamily="18" charset="0"/>
            </a:rPr>
            <a:t>Chi phí kh</a:t>
          </a: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ác</a:t>
          </a:r>
          <a:r>
            <a:rPr lang="vi-VN" sz="2000">
              <a:latin typeface="Times New Roman" panose="02020603050405020304" pitchFamily="18" charset="0"/>
              <a:cs typeface="Times New Roman" panose="02020603050405020304" pitchFamily="18" charset="0"/>
            </a:rPr>
            <a:t> 300.000</a:t>
          </a:r>
        </a:p>
        <a:p>
          <a:pPr marL="285750" indent="-285750">
            <a:buFontTx/>
            <a:buChar char="-"/>
          </a:pPr>
          <a:r>
            <a:rPr lang="vi-VN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Thuế suất thuế thu nhập doanh nghiệp 20% </a:t>
          </a:r>
          <a:r>
            <a:rPr lang="vi-VN" sz="2000">
              <a:latin typeface="Times New Roman" panose="02020603050405020304" pitchFamily="18" charset="0"/>
              <a:cs typeface="Times New Roman" panose="02020603050405020304" pitchFamily="18" charset="0"/>
            </a:rPr>
            <a:t>(giả định tổng lợi nhuận kế toán trước thuế bằng với lợi nhuận trước thuế)</a:t>
          </a:r>
        </a:p>
        <a:p>
          <a:r>
            <a:rPr lang="vi-VN" sz="2000">
              <a:latin typeface="Times New Roman" panose="02020603050405020304" pitchFamily="18" charset="0"/>
              <a:cs typeface="Times New Roman" panose="02020603050405020304" pitchFamily="18" charset="0"/>
            </a:rPr>
            <a:t>Yêu cầu: lập BC kết quả hoạt động kinh doanh của ABC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0</xdr:colOff>
      <xdr:row>5</xdr:row>
      <xdr:rowOff>95905</xdr:rowOff>
    </xdr:to>
    <xdr:sp macro="" textlink="">
      <xdr:nvSpPr>
        <xdr:cNvPr id="2" name="TextBox 6">
          <a:extLst>
            <a:ext uri="{FF2B5EF4-FFF2-40B4-BE49-F238E27FC236}">
              <a16:creationId xmlns:a16="http://schemas.microsoft.com/office/drawing/2014/main" id="{940F737A-39B5-C7E4-6B5B-A94338ED6C91}"/>
            </a:ext>
          </a:extLst>
        </xdr:cNvPr>
        <xdr:cNvSpPr txBox="1"/>
      </xdr:nvSpPr>
      <xdr:spPr>
        <a:xfrm>
          <a:off x="0" y="365760"/>
          <a:ext cx="11694160" cy="46166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vi-VN" sz="2400"/>
            <a:t>Ví dụ </a:t>
          </a:r>
          <a:r>
            <a:rPr lang="en-US" sz="2400"/>
            <a:t>3</a:t>
          </a:r>
          <a:r>
            <a:rPr lang="vi-VN" sz="2400"/>
            <a:t>: Ngày 31/12/2023 công ty A có số dư cuối kỳ như sau. Tìm X</a:t>
          </a:r>
          <a:endParaRPr lang="en-US" sz="2400"/>
        </a:p>
      </xdr:txBody>
    </xdr:sp>
    <xdr:clientData/>
  </xdr:twoCellAnchor>
  <xdr:twoCellAnchor editAs="oneCell">
    <xdr:from>
      <xdr:col>5</xdr:col>
      <xdr:colOff>21772</xdr:colOff>
      <xdr:row>0</xdr:row>
      <xdr:rowOff>0</xdr:rowOff>
    </xdr:from>
    <xdr:to>
      <xdr:col>19</xdr:col>
      <xdr:colOff>1545772</xdr:colOff>
      <xdr:row>9</xdr:row>
      <xdr:rowOff>445925</xdr:rowOff>
    </xdr:to>
    <xdr:pic>
      <xdr:nvPicPr>
        <xdr:cNvPr id="3" name="table">
          <a:extLst>
            <a:ext uri="{FF2B5EF4-FFF2-40B4-BE49-F238E27FC236}">
              <a16:creationId xmlns:a16="http://schemas.microsoft.com/office/drawing/2014/main" id="{A5141CA7-6DD5-003F-7E39-E3A51C1ED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4315" y="0"/>
          <a:ext cx="10058400" cy="4658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D992-4A12-4FFF-9CB2-8AE34E8E2504}">
  <dimension ref="J1:M21"/>
  <sheetViews>
    <sheetView tabSelected="1" zoomScale="115" zoomScaleNormal="115" workbookViewId="0">
      <selection activeCell="M13" sqref="M13"/>
    </sheetView>
  </sheetViews>
  <sheetFormatPr defaultRowHeight="14.4" x14ac:dyDescent="0.3"/>
  <cols>
    <col min="10" max="10" width="55" customWidth="1"/>
    <col min="11" max="11" width="8.6640625" bestFit="1" customWidth="1"/>
    <col min="12" max="12" width="4.33203125" customWidth="1"/>
    <col min="13" max="13" width="20.77734375" style="6" customWidth="1"/>
  </cols>
  <sheetData>
    <row r="1" spans="10:13" ht="15" thickBot="1" x14ac:dyDescent="0.35"/>
    <row r="2" spans="10:13" ht="34.200000000000003" customHeight="1" thickBot="1" x14ac:dyDescent="0.45">
      <c r="J2" s="1" t="s">
        <v>0</v>
      </c>
      <c r="K2" s="1" t="s">
        <v>1</v>
      </c>
      <c r="L2" s="4" t="s">
        <v>2</v>
      </c>
      <c r="M2" s="7" t="s">
        <v>29</v>
      </c>
    </row>
    <row r="3" spans="10:13" ht="21.6" customHeight="1" thickBot="1" x14ac:dyDescent="0.45">
      <c r="J3" s="3" t="s">
        <v>3</v>
      </c>
      <c r="K3" s="1">
        <v>1</v>
      </c>
      <c r="L3" s="5"/>
      <c r="M3" s="7">
        <f>14000*200</f>
        <v>2800000</v>
      </c>
    </row>
    <row r="4" spans="10:13" ht="21.6" customHeight="1" thickBot="1" x14ac:dyDescent="0.45">
      <c r="J4" s="2" t="s">
        <v>4</v>
      </c>
      <c r="K4" s="1">
        <v>2</v>
      </c>
      <c r="L4" s="5"/>
      <c r="M4" s="7">
        <v>200000</v>
      </c>
    </row>
    <row r="5" spans="10:13" ht="21.6" customHeight="1" thickBot="1" x14ac:dyDescent="0.45">
      <c r="J5" s="3" t="s">
        <v>25</v>
      </c>
      <c r="K5" s="1">
        <v>10</v>
      </c>
      <c r="L5" s="5" t="s">
        <v>5</v>
      </c>
      <c r="M5" s="7">
        <f>M3-M4</f>
        <v>2600000</v>
      </c>
    </row>
    <row r="6" spans="10:13" ht="21.6" customHeight="1" thickBot="1" x14ac:dyDescent="0.45">
      <c r="J6" s="2" t="s">
        <v>6</v>
      </c>
      <c r="K6" s="1">
        <v>11</v>
      </c>
      <c r="L6" s="5"/>
      <c r="M6" s="7">
        <f>6000*200</f>
        <v>1200000</v>
      </c>
    </row>
    <row r="7" spans="10:13" ht="21.6" customHeight="1" thickBot="1" x14ac:dyDescent="0.45">
      <c r="J7" s="3" t="s">
        <v>26</v>
      </c>
      <c r="K7" s="1">
        <v>20</v>
      </c>
      <c r="L7" s="5" t="s">
        <v>7</v>
      </c>
      <c r="M7" s="7">
        <f>M5-M6</f>
        <v>1400000</v>
      </c>
    </row>
    <row r="8" spans="10:13" ht="21.6" customHeight="1" thickBot="1" x14ac:dyDescent="0.45">
      <c r="J8" s="2" t="s">
        <v>8</v>
      </c>
      <c r="K8" s="1">
        <v>21</v>
      </c>
      <c r="L8" s="5"/>
      <c r="M8" s="7">
        <v>3000000</v>
      </c>
    </row>
    <row r="9" spans="10:13" ht="21.6" customHeight="1" thickBot="1" x14ac:dyDescent="0.45">
      <c r="J9" s="2" t="s">
        <v>9</v>
      </c>
      <c r="K9" s="1">
        <v>22</v>
      </c>
      <c r="L9" s="5"/>
      <c r="M9" s="7">
        <v>1000000</v>
      </c>
    </row>
    <row r="10" spans="10:13" ht="21.6" customHeight="1" thickBot="1" x14ac:dyDescent="0.45">
      <c r="J10" s="2" t="s">
        <v>10</v>
      </c>
      <c r="K10" s="1">
        <v>25</v>
      </c>
      <c r="L10" s="5"/>
      <c r="M10" s="7">
        <v>1500000</v>
      </c>
    </row>
    <row r="11" spans="10:13" ht="21.6" customHeight="1" thickBot="1" x14ac:dyDescent="0.45">
      <c r="J11" s="2" t="s">
        <v>11</v>
      </c>
      <c r="K11" s="1">
        <v>26</v>
      </c>
      <c r="L11" s="5"/>
      <c r="M11" s="7">
        <v>2000000</v>
      </c>
    </row>
    <row r="12" spans="10:13" ht="21.6" customHeight="1" thickBot="1" x14ac:dyDescent="0.45">
      <c r="J12" s="3" t="s">
        <v>27</v>
      </c>
      <c r="K12" s="1">
        <v>30</v>
      </c>
      <c r="L12" s="5" t="s">
        <v>12</v>
      </c>
      <c r="M12" s="7">
        <f>M7+M8-M9-M10-M11</f>
        <v>-100000</v>
      </c>
    </row>
    <row r="13" spans="10:13" ht="21.6" customHeight="1" thickBot="1" x14ac:dyDescent="0.45">
      <c r="J13" s="2" t="s">
        <v>13</v>
      </c>
      <c r="K13" s="1">
        <v>31</v>
      </c>
      <c r="L13" s="5"/>
      <c r="M13" s="7">
        <v>500000</v>
      </c>
    </row>
    <row r="14" spans="10:13" ht="21.6" customHeight="1" thickBot="1" x14ac:dyDescent="0.45">
      <c r="J14" s="2" t="s">
        <v>14</v>
      </c>
      <c r="K14" s="1">
        <v>32</v>
      </c>
      <c r="L14" s="5"/>
      <c r="M14" s="7">
        <v>300000</v>
      </c>
    </row>
    <row r="15" spans="10:13" ht="21.6" customHeight="1" thickBot="1" x14ac:dyDescent="0.45">
      <c r="J15" s="2" t="s">
        <v>15</v>
      </c>
      <c r="K15" s="1">
        <v>40</v>
      </c>
      <c r="L15" s="5" t="s">
        <v>16</v>
      </c>
      <c r="M15" s="7">
        <f>M13-M14</f>
        <v>200000</v>
      </c>
    </row>
    <row r="16" spans="10:13" ht="21.6" customHeight="1" thickBot="1" x14ac:dyDescent="0.45">
      <c r="J16" s="2" t="s">
        <v>17</v>
      </c>
      <c r="K16" s="1">
        <v>50</v>
      </c>
      <c r="L16" s="5" t="s">
        <v>18</v>
      </c>
      <c r="M16" s="7">
        <f>M12+M15</f>
        <v>100000</v>
      </c>
    </row>
    <row r="17" spans="10:13" ht="21.6" customHeight="1" thickBot="1" x14ac:dyDescent="0.45">
      <c r="J17" s="2" t="s">
        <v>19</v>
      </c>
      <c r="K17" s="1">
        <v>51</v>
      </c>
      <c r="L17" s="5" t="s">
        <v>28</v>
      </c>
      <c r="M17" s="7">
        <f>M16*20%</f>
        <v>20000</v>
      </c>
    </row>
    <row r="18" spans="10:13" ht="21.6" customHeight="1" thickBot="1" x14ac:dyDescent="0.45">
      <c r="J18" s="2" t="s">
        <v>20</v>
      </c>
      <c r="K18" s="1">
        <v>52</v>
      </c>
      <c r="L18" s="5"/>
      <c r="M18" s="7">
        <v>0</v>
      </c>
    </row>
    <row r="19" spans="10:13" ht="21.6" customHeight="1" thickBot="1" x14ac:dyDescent="0.45">
      <c r="J19" s="2" t="s">
        <v>21</v>
      </c>
      <c r="K19" s="1">
        <v>60</v>
      </c>
      <c r="L19" s="5" t="s">
        <v>22</v>
      </c>
      <c r="M19" s="7">
        <f>M16-M17</f>
        <v>80000</v>
      </c>
    </row>
    <row r="20" spans="10:13" ht="21.6" customHeight="1" thickBot="1" x14ac:dyDescent="0.45">
      <c r="J20" s="2" t="s">
        <v>23</v>
      </c>
      <c r="K20" s="1">
        <v>70</v>
      </c>
      <c r="L20" s="5"/>
      <c r="M20" s="7"/>
    </row>
    <row r="21" spans="10:13" ht="21.6" customHeight="1" thickBot="1" x14ac:dyDescent="0.45">
      <c r="J21" s="2" t="s">
        <v>24</v>
      </c>
      <c r="K21" s="1">
        <v>71</v>
      </c>
      <c r="L21" s="5"/>
      <c r="M21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3D5F-D2BA-458E-A064-C5BE416CA2FD}">
  <dimension ref="B7:E22"/>
  <sheetViews>
    <sheetView topLeftCell="A4" zoomScale="70" zoomScaleNormal="70" workbookViewId="0">
      <selection activeCell="O11" sqref="O11"/>
    </sheetView>
  </sheetViews>
  <sheetFormatPr defaultRowHeight="36.6" x14ac:dyDescent="0.7"/>
  <cols>
    <col min="1" max="1" width="8.88671875" style="8"/>
    <col min="2" max="2" width="34.5546875" style="8" customWidth="1"/>
    <col min="3" max="3" width="37.21875" style="11" bestFit="1" customWidth="1"/>
    <col min="4" max="4" width="34.5546875" style="8" customWidth="1"/>
    <col min="5" max="5" width="39.44140625" style="11" customWidth="1"/>
    <col min="6" max="19" width="8.88671875" style="8"/>
    <col min="20" max="20" width="30.88671875" style="8" bestFit="1" customWidth="1"/>
    <col min="21" max="21" width="31.88671875" style="8" bestFit="1" customWidth="1"/>
    <col min="22" max="22" width="50.5546875" style="8" bestFit="1" customWidth="1"/>
    <col min="23" max="16384" width="8.88671875" style="8"/>
  </cols>
  <sheetData>
    <row r="7" spans="2:5" x14ac:dyDescent="0.7">
      <c r="B7" s="9" t="s">
        <v>30</v>
      </c>
      <c r="C7" s="10" t="s">
        <v>31</v>
      </c>
      <c r="D7" s="9" t="s">
        <v>32</v>
      </c>
      <c r="E7" s="10" t="s">
        <v>31</v>
      </c>
    </row>
    <row r="8" spans="2:5" x14ac:dyDescent="0.7">
      <c r="B8" s="9" t="s">
        <v>33</v>
      </c>
      <c r="C8" s="10">
        <v>40000000</v>
      </c>
      <c r="D8" s="9" t="s">
        <v>41</v>
      </c>
      <c r="E8" s="10">
        <v>1500000</v>
      </c>
    </row>
    <row r="9" spans="2:5" x14ac:dyDescent="0.7">
      <c r="B9" s="9" t="s">
        <v>34</v>
      </c>
      <c r="C9" s="10">
        <v>12000000</v>
      </c>
      <c r="D9" s="9" t="s">
        <v>42</v>
      </c>
      <c r="E9" s="10">
        <v>6038000</v>
      </c>
    </row>
    <row r="10" spans="2:5" x14ac:dyDescent="0.7">
      <c r="B10" s="9" t="s">
        <v>35</v>
      </c>
      <c r="C10" s="10">
        <v>6000000</v>
      </c>
      <c r="D10" s="9" t="s">
        <v>43</v>
      </c>
      <c r="E10" s="10">
        <v>10000000</v>
      </c>
    </row>
    <row r="11" spans="2:5" x14ac:dyDescent="0.7">
      <c r="B11" s="16" t="s">
        <v>36</v>
      </c>
      <c r="C11" s="17">
        <v>-25875000</v>
      </c>
      <c r="D11" s="9" t="s">
        <v>44</v>
      </c>
      <c r="E11" s="10">
        <v>8000000</v>
      </c>
    </row>
    <row r="12" spans="2:5" x14ac:dyDescent="0.7">
      <c r="B12" s="9" t="s">
        <v>37</v>
      </c>
      <c r="C12" s="10">
        <v>150000000</v>
      </c>
      <c r="D12" s="9" t="s">
        <v>45</v>
      </c>
      <c r="E12" s="10">
        <v>180000000</v>
      </c>
    </row>
    <row r="13" spans="2:5" x14ac:dyDescent="0.7">
      <c r="B13" s="9" t="s">
        <v>38</v>
      </c>
      <c r="C13" s="10">
        <v>12000000</v>
      </c>
      <c r="D13" s="9" t="s">
        <v>46</v>
      </c>
      <c r="E13" s="10">
        <v>5000000</v>
      </c>
    </row>
    <row r="14" spans="2:5" x14ac:dyDescent="0.7">
      <c r="B14" s="9" t="s">
        <v>39</v>
      </c>
      <c r="C14" s="10">
        <v>5000000</v>
      </c>
      <c r="D14" s="9" t="s">
        <v>47</v>
      </c>
      <c r="E14" s="10" t="s">
        <v>48</v>
      </c>
    </row>
    <row r="15" spans="2:5" x14ac:dyDescent="0.7">
      <c r="B15" s="9" t="s">
        <v>40</v>
      </c>
      <c r="C15" s="10">
        <v>12000000</v>
      </c>
      <c r="D15" s="9"/>
      <c r="E15" s="10"/>
    </row>
    <row r="16" spans="2:5" x14ac:dyDescent="0.7">
      <c r="B16" s="13" t="s">
        <v>49</v>
      </c>
      <c r="C16" s="14">
        <f>SUM(C8:C15)</f>
        <v>211125000</v>
      </c>
      <c r="D16" s="13" t="s">
        <v>50</v>
      </c>
      <c r="E16" s="14" t="s">
        <v>51</v>
      </c>
    </row>
    <row r="18" spans="3:4" x14ac:dyDescent="0.7">
      <c r="C18" s="11" t="s">
        <v>52</v>
      </c>
    </row>
    <row r="19" spans="3:4" x14ac:dyDescent="0.7">
      <c r="C19" s="11">
        <v>211125000</v>
      </c>
      <c r="D19" s="12" t="str">
        <f>E16</f>
        <v>210,538,000 + X</v>
      </c>
    </row>
    <row r="21" spans="3:4" x14ac:dyDescent="0.7">
      <c r="C21" s="15" t="s">
        <v>53</v>
      </c>
    </row>
    <row r="22" spans="3:4" x14ac:dyDescent="0.7">
      <c r="C22" s="11" t="s">
        <v>54</v>
      </c>
      <c r="D22" s="12">
        <f>C16-210538000</f>
        <v>587000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VHU ThuongLTN</dc:creator>
  <cp:lastModifiedBy>VHU ThuongLTN</cp:lastModifiedBy>
  <dcterms:created xsi:type="dcterms:W3CDTF">2024-09-29T13:53:45Z</dcterms:created>
  <dcterms:modified xsi:type="dcterms:W3CDTF">2025-01-22T12:28:31Z</dcterms:modified>
</cp:coreProperties>
</file>